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core Sheet" sheetId="2" state="visible" r:id="rId2"/>
    <sheet xmlns:r="http://schemas.openxmlformats.org/officeDocument/2006/relationships" name="Class Roste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3864"/>
      <sz val="16"/>
    </font>
    <font>
      <name val="Arial"/>
      <i val="1"/>
      <color rgb="00555555"/>
      <sz val="10"/>
    </font>
    <font>
      <name val="Arial"/>
      <b val="1"/>
      <color rgb="001F3864"/>
      <sz val="11"/>
    </font>
    <font>
      <name val="Arial"/>
      <color rgb="00000000"/>
      <sz val="11"/>
    </font>
    <font>
      <name val="Arial"/>
      <b val="1"/>
      <color rgb="001F3864"/>
      <sz val="15"/>
    </font>
    <font>
      <name val="Arial"/>
      <i val="1"/>
      <color rgb="00555555"/>
      <sz val="9"/>
    </font>
    <font>
      <name val="Arial"/>
      <b val="1"/>
      <sz val="10"/>
    </font>
    <font>
      <name val="Arial"/>
      <sz val="10"/>
    </font>
    <font>
      <name val="Arial"/>
      <b val="1"/>
      <color rgb="00FFFFFF"/>
      <sz val="10"/>
    </font>
    <font>
      <name val="Arial"/>
      <b val="1"/>
      <color rgb="001F3864"/>
      <sz val="12"/>
    </font>
    <font>
      <name val="Arial"/>
      <b val="1"/>
      <sz val="11"/>
    </font>
    <font>
      <name val="Arial"/>
      <b val="1"/>
      <sz val="12"/>
    </font>
    <font>
      <name val="Arial"/>
      <i val="1"/>
      <color rgb="00777777"/>
      <sz val="10"/>
    </font>
  </fonts>
  <fills count="5">
    <fill>
      <patternFill/>
    </fill>
    <fill>
      <patternFill patternType="gray125"/>
    </fill>
    <fill>
      <patternFill patternType="solid">
        <fgColor rgb="00FFF6D5"/>
      </patternFill>
    </fill>
    <fill>
      <patternFill patternType="solid">
        <fgColor rgb="001F3864"/>
      </patternFill>
    </fill>
    <fill>
      <patternFill patternType="solid">
        <fgColor rgb="00EAF0F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1" pivotButton="0" quotePrefix="0" xfId="0"/>
    <xf numFmtId="0" fontId="9" fillId="3" borderId="1" applyAlignment="1" pivotButton="0" quotePrefix="0" xfId="0">
      <alignment horizontal="center" vertical="center"/>
    </xf>
    <xf numFmtId="0" fontId="9" fillId="3" borderId="1" applyAlignment="1" pivotButton="0" quotePrefix="0" xfId="0">
      <alignment horizontal="left" vertical="center"/>
    </xf>
    <xf numFmtId="0" fontId="8" fillId="0" borderId="1" applyAlignment="1" pivotButton="0" quotePrefix="0" xfId="0">
      <alignment horizontal="center" vertical="center"/>
    </xf>
    <xf numFmtId="0" fontId="8" fillId="0" borderId="1" applyAlignment="1" pivotButton="0" quotePrefix="0" xfId="0">
      <alignment vertical="top" wrapText="1"/>
    </xf>
    <xf numFmtId="0" fontId="8" fillId="2" borderId="1" applyAlignment="1" pivotButton="0" quotePrefix="0" xfId="0">
      <alignment horizontal="center" vertical="center"/>
    </xf>
    <xf numFmtId="0" fontId="8" fillId="4" borderId="1" applyAlignment="1" pivotButton="0" quotePrefix="0" xfId="0">
      <alignment horizontal="center" vertical="center"/>
    </xf>
    <xf numFmtId="0" fontId="8" fillId="4" borderId="1" applyAlignment="1" pivotButton="0" quotePrefix="0" xfId="0">
      <alignment vertical="top" wrapText="1"/>
    </xf>
    <xf numFmtId="0" fontId="10" fillId="0" borderId="0" pivotButton="0" quotePrefix="0" xfId="0"/>
    <xf numFmtId="0" fontId="9" fillId="3" borderId="1" applyAlignment="1" pivotButton="0" quotePrefix="0" xfId="0">
      <alignment horizontal="left"/>
    </xf>
    <xf numFmtId="0" fontId="7" fillId="0" borderId="1" applyAlignment="1" pivotButton="0" quotePrefix="0" xfId="0">
      <alignment horizontal="center" vertical="center"/>
    </xf>
    <xf numFmtId="0" fontId="8" fillId="0" borderId="1" pivotButton="0" quotePrefix="0" xfId="0"/>
    <xf numFmtId="9" fontId="8" fillId="0" borderId="1" applyAlignment="1" pivotButton="0" quotePrefix="0" xfId="0">
      <alignment horizontal="center" vertical="center"/>
    </xf>
    <xf numFmtId="0" fontId="0" fillId="0" borderId="1" pivotButton="0" quotePrefix="0" xfId="0"/>
    <xf numFmtId="0" fontId="11" fillId="0" borderId="1" pivotButton="0" quotePrefix="0" xfId="0"/>
    <xf numFmtId="9" fontId="7" fillId="0" borderId="1" applyAlignment="1" pivotButton="0" quotePrefix="0" xfId="0">
      <alignment horizontal="center" vertical="center"/>
    </xf>
    <xf numFmtId="0" fontId="7" fillId="4" borderId="1" applyAlignment="1" pivotButton="0" quotePrefix="0" xfId="0">
      <alignment horizontal="center" vertical="center"/>
    </xf>
    <xf numFmtId="0" fontId="12" fillId="0" borderId="1" applyAlignment="1" pivotButton="0" quotePrefix="0" xfId="0">
      <alignment horizontal="center" vertical="center"/>
    </xf>
    <xf numFmtId="0" fontId="13" fillId="2" borderId="1" applyAlignment="1" pivotButton="0" quotePrefix="0" xfId="0">
      <alignment horizontal="left"/>
    </xf>
    <xf numFmtId="0" fontId="13" fillId="2" borderId="1" applyAlignment="1" pivotButton="0" quotePrefix="0" xfId="0">
      <alignment horizontal="center" vertical="center"/>
    </xf>
    <xf numFmtId="0" fontId="8" fillId="2" borderId="1" applyAlignment="1" pivotButton="0" quotePrefix="0" xfId="0">
      <alignment horizontal="left"/>
    </xf>
  </cellXfs>
  <cellStyles count="1">
    <cellStyle name="Normal" xfId="0" builtinId="0" hidden="0"/>
  </cellStyles>
  <dxfs count="4">
    <dxf>
      <font>
        <name val="Arial"/>
        <b val="1"/>
        <color rgb="00006100"/>
      </font>
      <fill>
        <patternFill patternType="solid">
          <fgColor rgb="00C6EFCE"/>
        </patternFill>
      </fill>
    </dxf>
    <dxf>
      <font>
        <name val="Arial"/>
        <b val="1"/>
        <color rgb="009C0006"/>
      </font>
      <fill>
        <patternFill patternType="solid">
          <fgColor rgb="00FFC7CE"/>
        </patternFill>
      </fill>
    </dxf>
    <dxf>
      <font>
        <name val="Arial"/>
        <color rgb="00006100"/>
      </font>
      <fill>
        <patternFill patternType="solid">
          <fgColor rgb="00C6EFCE"/>
        </patternFill>
      </fill>
    </dxf>
    <dxf>
      <font>
        <name val="Arial"/>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2" customWidth="1" min="1" max="1"/>
    <col width="115" customWidth="1" min="2" max="2"/>
  </cols>
  <sheetData>
    <row r="2">
      <c r="B2" s="1" t="inlineStr">
        <is>
          <t>CharmEd Minds™ — Competency Scoring Grid</t>
        </is>
      </c>
    </row>
    <row r="3">
      <c r="B3" s="2" t="inlineStr">
        <is>
          <t>Confidence Through Cognition and Education · BHW Medical Group</t>
        </is>
      </c>
    </row>
    <row r="5">
      <c r="B5" s="3" t="inlineStr">
        <is>
          <t>How to use this workbook</t>
        </is>
      </c>
    </row>
    <row r="6">
      <c r="B6" s="4" t="inlineStr">
        <is>
          <t>1.  Score Sheet — grade one employee. Enter their details, then mark each item 1 (correct) or 0 (incorrect) in the yellow Awarded column. Totals, %, and the Result update automatically.</t>
        </is>
      </c>
    </row>
    <row r="7">
      <c r="B7" s="4" t="inlineStr">
        <is>
          <t>2.  Class Roster — track the whole team. Enter each person’s per-part points; the roster computes total, %, Part B check, and Result.</t>
        </is>
      </c>
    </row>
    <row r="8">
      <c r="B8" s="4" t="inlineStr">
        <is>
          <t>3.  Duplicate the Score Sheet tab (right-click → Move or Copy → check ‘Create a copy’) to grade additional employees.</t>
        </is>
      </c>
    </row>
    <row r="9">
      <c r="B9" s="4" t="inlineStr"/>
    </row>
    <row r="10">
      <c r="B10" s="3" t="inlineStr">
        <is>
          <t>Passing standard</t>
        </is>
      </c>
    </row>
    <row r="11">
      <c r="B11" s="4" t="inlineStr">
        <is>
          <t>•  80% or higher overall, AND</t>
        </is>
      </c>
    </row>
    <row r="12">
      <c r="B12" s="4" t="inlineStr">
        <is>
          <t>•  100% on Part B (Scope of Practice &amp; Safety) — every safety item correct.</t>
        </is>
      </c>
    </row>
    <row r="13">
      <c r="B13" s="4" t="inlineStr">
        <is>
          <t>•  If Part B is not perfect, the employee reviews Modules 3 &amp; 8 and re-tests before working independently.</t>
        </is>
      </c>
    </row>
    <row r="14">
      <c r="B14" s="4" t="inlineStr"/>
    </row>
    <row r="15">
      <c r="B15" s="3" t="inlineStr">
        <is>
          <t>Scoring notes</t>
        </is>
      </c>
    </row>
    <row r="16">
      <c r="B16" s="4" t="inlineStr">
        <is>
          <t>•  47 points total: A=11, B=7, C=9, D=6, E=6, F=3 (role-specific), G=5.</t>
        </is>
      </c>
    </row>
    <row r="17">
      <c r="B17" s="4" t="inlineStr">
        <is>
          <t>•  Yellow cells are for input. All other cells are formulas — do not overwrite them.</t>
        </is>
      </c>
    </row>
    <row r="18">
      <c r="B18" s="4" t="inlineStr">
        <is>
          <t>•  Correct answers and module references are shown on the Score Sheet and mirror the trainer Answer Key.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0"/>
  <sheetViews>
    <sheetView showGridLines="0" workbookViewId="0">
      <pane ySplit="7" topLeftCell="A8" activePane="bottomLeft" state="frozen"/>
      <selection pane="bottomLeft" activeCell="A1" sqref="A1"/>
    </sheetView>
  </sheetViews>
  <sheetFormatPr baseColWidth="8" defaultRowHeight="15"/>
  <cols>
    <col width="6" customWidth="1" min="1" max="1"/>
    <col width="7" customWidth="1" min="2" max="2"/>
    <col width="52" customWidth="1" min="3" max="3"/>
    <col width="58" customWidth="1" min="4" max="4"/>
    <col width="9" customWidth="1" min="5" max="5"/>
    <col width="6" customWidth="1" min="6" max="6"/>
    <col width="10" customWidth="1" min="7" max="7"/>
  </cols>
  <sheetData>
    <row r="1">
      <c r="A1" s="5" t="inlineStr">
        <is>
          <t>CharmEd Minds™ Competency — Score Sheet</t>
        </is>
      </c>
    </row>
    <row r="2">
      <c r="A2" s="6" t="inlineStr">
        <is>
          <t>Mark each item 1 (correct) or 0 (incorrect) in the yellow column.</t>
        </is>
      </c>
    </row>
    <row r="4">
      <c r="A4" s="7" t="inlineStr">
        <is>
          <t>Employee:</t>
        </is>
      </c>
      <c r="B4" s="8" t="n"/>
      <c r="D4" s="7" t="inlineStr">
        <is>
          <t>Role:</t>
        </is>
      </c>
      <c r="E4" s="8" t="n"/>
    </row>
    <row r="5">
      <c r="A5" s="7" t="inlineStr">
        <is>
          <t>Date:</t>
        </is>
      </c>
      <c r="B5" s="8" t="n"/>
      <c r="D5" s="7" t="inlineStr">
        <is>
          <t>Grader:</t>
        </is>
      </c>
      <c r="E5" s="8" t="n"/>
    </row>
    <row r="7">
      <c r="A7" s="9" t="inlineStr">
        <is>
          <t>Item</t>
        </is>
      </c>
      <c r="B7" s="9" t="inlineStr">
        <is>
          <t>Part</t>
        </is>
      </c>
      <c r="C7" s="10" t="inlineStr">
        <is>
          <t>Question</t>
        </is>
      </c>
      <c r="D7" s="10" t="inlineStr">
        <is>
          <t>Correct Answer</t>
        </is>
      </c>
      <c r="E7" s="9" t="inlineStr">
        <is>
          <t>Module</t>
        </is>
      </c>
      <c r="F7" s="9" t="inlineStr">
        <is>
          <t>Max</t>
        </is>
      </c>
      <c r="G7" s="9" t="inlineStr">
        <is>
          <t>Awarded</t>
        </is>
      </c>
    </row>
    <row r="8">
      <c r="A8" s="11" t="inlineStr">
        <is>
          <t>1</t>
        </is>
      </c>
      <c r="B8" s="11" t="inlineStr">
        <is>
          <t>A</t>
        </is>
      </c>
      <c r="C8" s="12" t="inlineStr">
        <is>
          <t>Central promise (one sentence)</t>
        </is>
      </c>
      <c r="D8" s="12" t="inlineStr">
        <is>
          <t>“Confidence Through Cognition and Education”</t>
        </is>
      </c>
      <c r="E8" s="11" t="inlineStr">
        <is>
          <t>1.2</t>
        </is>
      </c>
      <c r="F8" s="11" t="n">
        <v>1</v>
      </c>
      <c r="G8" s="13" t="n"/>
    </row>
    <row r="9">
      <c r="A9" s="14" t="inlineStr">
        <is>
          <t>2</t>
        </is>
      </c>
      <c r="B9" s="14" t="inlineStr">
        <is>
          <t>A</t>
        </is>
      </c>
      <c r="C9" s="15" t="inlineStr">
        <is>
          <t>Age range served</t>
        </is>
      </c>
      <c r="D9" s="15" t="inlineStr">
        <is>
          <t>5–90</t>
        </is>
      </c>
      <c r="E9" s="14" t="inlineStr">
        <is>
          <t>1.3</t>
        </is>
      </c>
      <c r="F9" s="14" t="n">
        <v>1</v>
      </c>
      <c r="G9" s="13" t="n"/>
    </row>
    <row r="10">
      <c r="A10" s="11" t="inlineStr">
        <is>
          <t>3</t>
        </is>
      </c>
      <c r="B10" s="11" t="inlineStr">
        <is>
          <t>A</t>
        </is>
      </c>
      <c r="C10" s="12" t="inlineStr">
        <is>
          <t>Name 3 of the 7 population tracks</t>
        </is>
      </c>
      <c r="D10" s="12" t="inlineStr">
        <is>
          <t>Any 3: Children; Teens/YA; Adults; Neurodivergent Adults; Recovery; Chronic Disease; Seniors</t>
        </is>
      </c>
      <c r="E10" s="11" t="inlineStr">
        <is>
          <t>1.3</t>
        </is>
      </c>
      <c r="F10" s="11" t="n">
        <v>1</v>
      </c>
      <c r="G10" s="13" t="n"/>
    </row>
    <row r="11">
      <c r="A11" s="14" t="inlineStr">
        <is>
          <t>4</t>
        </is>
      </c>
      <c r="B11" s="14" t="inlineStr">
        <is>
          <t>A</t>
        </is>
      </c>
      <c r="C11" s="15" t="inlineStr">
        <is>
          <t>T/F — only for diagnosing ADHD in children</t>
        </is>
      </c>
      <c r="D11" s="15" t="inlineStr">
        <is>
          <t>False</t>
        </is>
      </c>
      <c r="E11" s="14" t="inlineStr">
        <is>
          <t>1.1</t>
        </is>
      </c>
      <c r="F11" s="14" t="n">
        <v>1</v>
      </c>
      <c r="G11" s="13" t="n"/>
    </row>
    <row r="12">
      <c r="A12" s="11" t="inlineStr">
        <is>
          <t>5</t>
        </is>
      </c>
      <c r="B12" s="11" t="inlineStr">
        <is>
          <t>A</t>
        </is>
      </c>
      <c r="C12" s="12" t="inlineStr">
        <is>
          <t>Tier adding BHI + parent/family coaching</t>
        </is>
      </c>
      <c r="D12" s="12" t="inlineStr">
        <is>
          <t>Gold</t>
        </is>
      </c>
      <c r="E12" s="11" t="inlineStr">
        <is>
          <t>2.1</t>
        </is>
      </c>
      <c r="F12" s="11" t="n">
        <v>1</v>
      </c>
      <c r="G12" s="13" t="n"/>
    </row>
    <row r="13">
      <c r="A13" s="14" t="inlineStr">
        <is>
          <t>6</t>
        </is>
      </c>
      <c r="B13" s="14" t="inlineStr">
        <is>
          <t>A</t>
        </is>
      </c>
      <c r="C13" s="15" t="inlineStr">
        <is>
          <t>Three clinical pillars</t>
        </is>
      </c>
      <c r="D13" s="15" t="inlineStr">
        <is>
          <t>Digital testing (CogniFit/Creyos); Quick Cognitive Test Kits; Weekly EF interventions (97127)</t>
        </is>
      </c>
      <c r="E13" s="14" t="inlineStr">
        <is>
          <t>2.3</t>
        </is>
      </c>
      <c r="F13" s="14" t="n">
        <v>1</v>
      </c>
      <c r="G13" s="13" t="n"/>
    </row>
    <row r="14">
      <c r="A14" s="11" t="inlineStr">
        <is>
          <t>7</t>
        </is>
      </c>
      <c r="B14" s="11" t="inlineStr">
        <is>
          <t>A</t>
        </is>
      </c>
      <c r="C14" s="12" t="inlineStr">
        <is>
          <t>Two primary computerized batteries</t>
        </is>
      </c>
      <c r="D14" s="12" t="inlineStr">
        <is>
          <t>CogniFit and Creyos</t>
        </is>
      </c>
      <c r="E14" s="11" t="inlineStr">
        <is>
          <t>6A</t>
        </is>
      </c>
      <c r="F14" s="11" t="n">
        <v>1</v>
      </c>
      <c r="G14" s="13" t="n"/>
    </row>
    <row r="15">
      <c r="A15" s="14" t="inlineStr">
        <is>
          <t>8</t>
        </is>
      </c>
      <c r="B15" s="14" t="inlineStr">
        <is>
          <t>A</t>
        </is>
      </c>
      <c r="C15" s="15" t="inlineStr">
        <is>
          <t>Two guiding principles</t>
        </is>
      </c>
      <c r="D15" s="15" t="inlineStr">
        <is>
          <t>Optimize the body before psychiatry; Behavior is communication</t>
        </is>
      </c>
      <c r="E15" s="14" t="inlineStr">
        <is>
          <t>1.5</t>
        </is>
      </c>
      <c r="F15" s="14" t="n">
        <v>1</v>
      </c>
      <c r="G15" s="13" t="n"/>
    </row>
    <row r="16">
      <c r="A16" s="11" t="inlineStr">
        <is>
          <t>9</t>
        </is>
      </c>
      <c r="B16" s="11" t="inlineStr">
        <is>
          <t>A</t>
        </is>
      </c>
      <c r="C16" s="12" t="inlineStr">
        <is>
          <t>Order the 7 pathway steps</t>
        </is>
      </c>
      <c r="D16" s="12" t="inlineStr">
        <is>
          <t>Intake → Screening → Medical review → Pattern ID → Education → Care plan → Follow-up</t>
        </is>
      </c>
      <c r="E16" s="11" t="inlineStr">
        <is>
          <t>2.5</t>
        </is>
      </c>
      <c r="F16" s="11" t="n">
        <v>1</v>
      </c>
      <c r="G16" s="13" t="n"/>
    </row>
    <row r="17">
      <c r="A17" s="14" t="inlineStr">
        <is>
          <t>10</t>
        </is>
      </c>
      <c r="B17" s="14" t="inlineStr">
        <is>
          <t>A</t>
        </is>
      </c>
      <c r="C17" s="15" t="inlineStr">
        <is>
          <t>Most important step &amp; why</t>
        </is>
      </c>
      <c r="D17" s="15" t="inlineStr">
        <is>
          <t>Education — people need language for their experience before they can change it</t>
        </is>
      </c>
      <c r="E17" s="14" t="inlineStr">
        <is>
          <t>2.5</t>
        </is>
      </c>
      <c r="F17" s="14" t="n">
        <v>1</v>
      </c>
      <c r="G17" s="13" t="n"/>
    </row>
    <row r="18">
      <c r="A18" s="11" t="inlineStr">
        <is>
          <t>11</t>
        </is>
      </c>
      <c r="B18" s="11" t="inlineStr">
        <is>
          <t>A</t>
        </is>
      </c>
      <c r="C18" s="12" t="inlineStr">
        <is>
          <t>Standard program length</t>
        </is>
      </c>
      <c r="D18" s="12" t="inlineStr">
        <is>
          <t>12 weeks</t>
        </is>
      </c>
      <c r="E18" s="11" t="inlineStr">
        <is>
          <t>2.4</t>
        </is>
      </c>
      <c r="F18" s="11" t="n">
        <v>1</v>
      </c>
      <c r="G18" s="13" t="n"/>
    </row>
    <row r="19">
      <c r="A19" s="14" t="inlineStr">
        <is>
          <t>12</t>
        </is>
      </c>
      <c r="B19" s="14" t="inlineStr">
        <is>
          <t>B</t>
        </is>
      </c>
      <c r="C19" s="15" t="inlineStr">
        <is>
          <t>Patient asks “do I have dementia?” — response &amp; next step</t>
        </is>
      </c>
      <c r="D19" s="15" t="inlineStr">
        <is>
          <t>Don’t diagnose; explain screening tools; Provider reviews &amp; discusses; put on review list</t>
        </is>
      </c>
      <c r="E19" s="14" t="inlineStr">
        <is>
          <t>3.6/9.2</t>
        </is>
      </c>
      <c r="F19" s="14" t="n">
        <v>1</v>
      </c>
      <c r="G19" s="13" t="n"/>
    </row>
    <row r="20">
      <c r="A20" s="11" t="inlineStr">
        <is>
          <t>13</t>
        </is>
      </c>
      <c r="B20" s="11" t="inlineStr">
        <is>
          <t>B</t>
        </is>
      </c>
      <c r="C20" s="12" t="inlineStr">
        <is>
          <t>T/F — coordinator may tell patient scores mean they have ADHD</t>
        </is>
      </c>
      <c r="D20" s="12" t="inlineStr">
        <is>
          <t>False</t>
        </is>
      </c>
      <c r="E20" s="11" t="inlineStr">
        <is>
          <t>3.6</t>
        </is>
      </c>
      <c r="F20" s="11" t="n">
        <v>1</v>
      </c>
      <c r="G20" s="13" t="n"/>
    </row>
    <row r="21">
      <c r="A21" s="14" t="inlineStr">
        <is>
          <t>14</t>
        </is>
      </c>
      <c r="B21" s="14" t="inlineStr">
        <is>
          <t>B</t>
        </is>
      </c>
      <c r="C21" s="15" t="inlineStr">
        <is>
          <t>Who may order &amp; interpret labs</t>
        </is>
      </c>
      <c r="D21" s="15" t="inlineStr">
        <is>
          <t>Provider</t>
        </is>
      </c>
      <c r="E21" s="14" t="inlineStr">
        <is>
          <t>7.2</t>
        </is>
      </c>
      <c r="F21" s="14" t="n">
        <v>1</v>
      </c>
      <c r="G21" s="13" t="n"/>
    </row>
    <row r="22">
      <c r="A22" s="11" t="inlineStr">
        <is>
          <t>15</t>
        </is>
      </c>
      <c r="B22" s="11" t="inlineStr">
        <is>
          <t>B</t>
        </is>
      </c>
      <c r="C22" s="12" t="inlineStr">
        <is>
          <t>Two things staff MAY + two they MAY NOT do</t>
        </is>
      </c>
      <c r="D22" s="12" t="inlineStr">
        <is>
          <t>MAY: administer screens, report scores, describe trends, educate, escalate. MAY NOT: diagnose, interpret clinically, adjust meds/order labs, decide medical necessity</t>
        </is>
      </c>
      <c r="E22" s="11" t="inlineStr">
        <is>
          <t>3.6</t>
        </is>
      </c>
      <c r="F22" s="11" t="n">
        <v>1</v>
      </c>
      <c r="G22" s="13" t="n"/>
    </row>
    <row r="23">
      <c r="A23" s="14" t="inlineStr">
        <is>
          <t>16</t>
        </is>
      </c>
      <c r="B23" s="14" t="inlineStr">
        <is>
          <t>B</t>
        </is>
      </c>
      <c r="C23" s="15" t="inlineStr">
        <is>
          <t>Red flag (sudden decline) — what to do</t>
        </is>
      </c>
      <c r="D23" s="15" t="inlineStr">
        <is>
          <t>Tell the APD immediately; APD routes to Provider the same day</t>
        </is>
      </c>
      <c r="E23" s="14" t="inlineStr">
        <is>
          <t>8.4</t>
        </is>
      </c>
      <c r="F23" s="14" t="n">
        <v>1</v>
      </c>
      <c r="G23" s="13" t="n"/>
    </row>
    <row r="24">
      <c r="A24" s="11" t="inlineStr">
        <is>
          <t>17</t>
        </is>
      </c>
      <c r="B24" s="11" t="inlineStr">
        <is>
          <t>B</t>
        </is>
      </c>
      <c r="C24" s="12" t="inlineStr">
        <is>
          <t>Patient mentions self-harm — what to do</t>
        </is>
      </c>
      <c r="D24" s="12" t="inlineStr">
        <is>
          <t>Follow the BHW crisis protocol immediately</t>
        </is>
      </c>
      <c r="E24" s="11" t="inlineStr">
        <is>
          <t>8.4/10.5</t>
        </is>
      </c>
      <c r="F24" s="11" t="n">
        <v>1</v>
      </c>
      <c r="G24" s="13" t="n"/>
    </row>
    <row r="25">
      <c r="A25" s="14" t="inlineStr">
        <is>
          <t>18</t>
        </is>
      </c>
      <c r="B25" s="14" t="inlineStr">
        <is>
          <t>B</t>
        </is>
      </c>
      <c r="C25" s="15" t="inlineStr">
        <is>
          <t>Who assigns the diagnosis / ICD-10</t>
        </is>
      </c>
      <c r="D25" s="15" t="inlineStr">
        <is>
          <t>Provider / NP</t>
        </is>
      </c>
      <c r="E25" s="14" t="inlineStr">
        <is>
          <t>3.1</t>
        </is>
      </c>
      <c r="F25" s="14" t="n">
        <v>1</v>
      </c>
      <c r="G25" s="13" t="n"/>
    </row>
    <row r="26">
      <c r="A26" s="11" t="inlineStr">
        <is>
          <t>19</t>
        </is>
      </c>
      <c r="B26" s="11" t="inlineStr">
        <is>
          <t>C</t>
        </is>
      </c>
      <c r="C26" s="12" t="inlineStr">
        <is>
          <t>Max time a referral may be unassigned</t>
        </is>
      </c>
      <c r="D26" s="12" t="inlineStr">
        <is>
          <t>24 hours</t>
        </is>
      </c>
      <c r="E26" s="11" t="inlineStr">
        <is>
          <t>4.2</t>
        </is>
      </c>
      <c r="F26" s="11" t="n">
        <v>1</v>
      </c>
      <c r="G26" s="13" t="n"/>
    </row>
    <row r="27">
      <c r="A27" s="14" t="inlineStr">
        <is>
          <t>20</t>
        </is>
      </c>
      <c r="B27" s="14" t="inlineStr">
        <is>
          <t>C</t>
        </is>
      </c>
      <c r="C27" s="15" t="inlineStr">
        <is>
          <t>Home digital testing completed within</t>
        </is>
      </c>
      <c r="D27" s="15" t="inlineStr">
        <is>
          <t>48 hours</t>
        </is>
      </c>
      <c r="E27" s="14" t="inlineStr">
        <is>
          <t>4.2</t>
        </is>
      </c>
      <c r="F27" s="14" t="n">
        <v>1</v>
      </c>
      <c r="G27" s="13" t="n"/>
    </row>
    <row r="28">
      <c r="A28" s="11" t="inlineStr">
        <is>
          <t>21</t>
        </is>
      </c>
      <c r="B28" s="11" t="inlineStr">
        <is>
          <t>C</t>
        </is>
      </c>
      <c r="C28" s="12" t="inlineStr">
        <is>
          <t>Referral task to coordinator sent</t>
        </is>
      </c>
      <c r="D28" s="12" t="inlineStr">
        <is>
          <t>Same day</t>
        </is>
      </c>
      <c r="E28" s="11" t="inlineStr">
        <is>
          <t>4.2</t>
        </is>
      </c>
      <c r="F28" s="11" t="n">
        <v>1</v>
      </c>
      <c r="G28" s="13" t="n"/>
    </row>
    <row r="29">
      <c r="A29" s="14" t="inlineStr">
        <is>
          <t>22</t>
        </is>
      </c>
      <c r="B29" s="14" t="inlineStr">
        <is>
          <t>C</t>
        </is>
      </c>
      <c r="C29" s="15" t="inlineStr">
        <is>
          <t>Intake scheduled within</t>
        </is>
      </c>
      <c r="D29" s="15" t="inlineStr">
        <is>
          <t>7 days</t>
        </is>
      </c>
      <c r="E29" s="14" t="inlineStr">
        <is>
          <t>4.2</t>
        </is>
      </c>
      <c r="F29" s="14" t="n">
        <v>1</v>
      </c>
      <c r="G29" s="13" t="n"/>
    </row>
    <row r="30">
      <c r="A30" s="11" t="inlineStr">
        <is>
          <t>23</t>
        </is>
      </c>
      <c r="B30" s="11" t="inlineStr">
        <is>
          <t>C</t>
        </is>
      </c>
      <c r="C30" s="12" t="inlineStr">
        <is>
          <t>97127 session documented when</t>
        </is>
      </c>
      <c r="D30" s="12" t="inlineStr">
        <is>
          <t>Same day</t>
        </is>
      </c>
      <c r="E30" s="11" t="inlineStr">
        <is>
          <t>8.2</t>
        </is>
      </c>
      <c r="F30" s="11" t="n">
        <v>1</v>
      </c>
      <c r="G30" s="13" t="n"/>
    </row>
    <row r="31">
      <c r="A31" s="14" t="inlineStr">
        <is>
          <t>24</t>
        </is>
      </c>
      <c r="B31" s="14" t="inlineStr">
        <is>
          <t>C</t>
        </is>
      </c>
      <c r="C31" s="15" t="inlineStr">
        <is>
          <t>Match step → owner (4)</t>
        </is>
      </c>
      <c r="D31" s="15" t="inlineStr">
        <is>
          <t>Baseline review=Provider; Assign coordinator=APD; Handout/schedule intake=MA; Runs intake=Care Coordinator</t>
        </is>
      </c>
      <c r="E31" s="14" t="inlineStr">
        <is>
          <t>4.2</t>
        </is>
      </c>
      <c r="F31" s="14" t="n">
        <v>1</v>
      </c>
      <c r="G31" s="13" t="n"/>
    </row>
    <row r="32">
      <c r="A32" s="11" t="inlineStr">
        <is>
          <t>25</t>
        </is>
      </c>
      <c r="B32" s="11" t="inlineStr">
        <is>
          <t>C</t>
        </is>
      </c>
      <c r="C32" s="12" t="inlineStr">
        <is>
          <t>Monthly review — whose summary first &amp; by whom</t>
        </is>
      </c>
      <c r="D32" s="12" t="inlineStr">
        <is>
          <t>Coordinator’s summary, reviewed by the APD before the Provider</t>
        </is>
      </c>
      <c r="E32" s="11" t="inlineStr">
        <is>
          <t>10.1</t>
        </is>
      </c>
      <c r="F32" s="11" t="n">
        <v>1</v>
      </c>
      <c r="G32" s="13" t="n"/>
    </row>
    <row r="33">
      <c r="A33" s="14" t="inlineStr">
        <is>
          <t>26</t>
        </is>
      </c>
      <c r="B33" s="14" t="inlineStr">
        <is>
          <t>C</t>
        </is>
      </c>
      <c r="C33" s="15" t="inlineStr">
        <is>
          <t>Quarterly full retest week</t>
        </is>
      </c>
      <c r="D33" s="15" t="inlineStr">
        <is>
          <t>Week 12</t>
        </is>
      </c>
      <c r="E33" s="14" t="inlineStr">
        <is>
          <t>10.1</t>
        </is>
      </c>
      <c r="F33" s="14" t="n">
        <v>1</v>
      </c>
      <c r="G33" s="13" t="n"/>
    </row>
    <row r="34">
      <c r="A34" s="11" t="inlineStr">
        <is>
          <t>27</t>
        </is>
      </c>
      <c r="B34" s="11" t="inlineStr">
        <is>
          <t>C</t>
        </is>
      </c>
      <c r="C34" s="12" t="inlineStr">
        <is>
          <t>3 of 5 continuation decisions</t>
        </is>
      </c>
      <c r="D34" s="12" t="inlineStr">
        <is>
          <t>continue / modify tier / maintenance / discharge / refer</t>
        </is>
      </c>
      <c r="E34" s="11" t="inlineStr">
        <is>
          <t>10.4</t>
        </is>
      </c>
      <c r="F34" s="11" t="n">
        <v>1</v>
      </c>
      <c r="G34" s="13" t="n"/>
    </row>
    <row r="35">
      <c r="A35" s="14" t="inlineStr">
        <is>
          <t>28</t>
        </is>
      </c>
      <c r="B35" s="14" t="inlineStr">
        <is>
          <t>D</t>
        </is>
      </c>
      <c r="C35" s="15" t="inlineStr">
        <is>
          <t>Match 5 tools → domain</t>
        </is>
      </c>
      <c r="D35" s="15" t="inlineStr">
        <is>
          <t>ASRS=adult ADHD; STOP-Bang=OSA risk; RAADS-R=adult autism; PHQ-9=depression; AD8=caregiver decline</t>
        </is>
      </c>
      <c r="E35" s="14" t="inlineStr">
        <is>
          <t>6</t>
        </is>
      </c>
      <c r="F35" s="14" t="n">
        <v>1</v>
      </c>
      <c r="G35" s="13" t="n"/>
    </row>
    <row r="36">
      <c r="A36" s="11" t="inlineStr">
        <is>
          <t>29</t>
        </is>
      </c>
      <c r="B36" s="11" t="inlineStr">
        <is>
          <t>D</t>
        </is>
      </c>
      <c r="C36" s="12" t="inlineStr">
        <is>
          <t>AuDHD clarification = which 4 categories</t>
        </is>
      </c>
      <c r="D36" s="12" t="inlineStr">
        <is>
          <t>ADHD tool + autism-trait tool + executive-function tool + sensory profile</t>
        </is>
      </c>
      <c r="E36" s="11" t="inlineStr">
        <is>
          <t>6D</t>
        </is>
      </c>
      <c r="F36" s="11" t="n">
        <v>1</v>
      </c>
      <c r="G36" s="13" t="n"/>
    </row>
    <row r="37">
      <c r="A37" s="14" t="inlineStr">
        <is>
          <t>30</t>
        </is>
      </c>
      <c r="B37" s="14" t="inlineStr">
        <is>
          <t>D</t>
        </is>
      </c>
      <c r="C37" s="15" t="inlineStr">
        <is>
          <t>T/F — a screen can replace a full autism dx evaluation</t>
        </is>
      </c>
      <c r="D37" s="15" t="inlineStr">
        <is>
          <t>False</t>
        </is>
      </c>
      <c r="E37" s="14" t="inlineStr">
        <is>
          <t>6D</t>
        </is>
      </c>
      <c r="F37" s="14" t="n">
        <v>1</v>
      </c>
      <c r="G37" s="13" t="n"/>
    </row>
    <row r="38">
      <c r="A38" s="11" t="inlineStr">
        <is>
          <t>31</t>
        </is>
      </c>
      <c r="B38" s="11" t="inlineStr">
        <is>
          <t>D</t>
        </is>
      </c>
      <c r="C38" s="12" t="inlineStr">
        <is>
          <t>Children’s ADHD screen + two informants</t>
        </is>
      </c>
      <c r="D38" s="12" t="inlineStr">
        <is>
          <t>Vanderbilt; parent + teacher</t>
        </is>
      </c>
      <c r="E38" s="11" t="inlineStr">
        <is>
          <t>6B</t>
        </is>
      </c>
      <c r="F38" s="11" t="n">
        <v>1</v>
      </c>
      <c r="G38" s="13" t="n"/>
    </row>
    <row r="39">
      <c r="A39" s="14" t="inlineStr">
        <is>
          <t>32</t>
        </is>
      </c>
      <c r="B39" s="14" t="inlineStr">
        <is>
          <t>D</t>
        </is>
      </c>
      <c r="C39" s="15" t="inlineStr">
        <is>
          <t>Quick cognitive screen for older adults</t>
        </is>
      </c>
      <c r="D39" s="15" t="inlineStr">
        <is>
          <t>Mini-Cog</t>
        </is>
      </c>
      <c r="E39" s="14" t="inlineStr">
        <is>
          <t>6I</t>
        </is>
      </c>
      <c r="F39" s="14" t="n">
        <v>1</v>
      </c>
      <c r="G39" s="13" t="n"/>
    </row>
    <row r="40">
      <c r="A40" s="11" t="inlineStr">
        <is>
          <t>33</t>
        </is>
      </c>
      <c r="B40" s="11" t="inlineStr">
        <is>
          <t>D</t>
        </is>
      </c>
      <c r="C40" s="12" t="inlineStr">
        <is>
          <t>Results combine into what document</t>
        </is>
      </c>
      <c r="D40" s="12" t="inlineStr">
        <is>
          <t>The CharmEd Minds Cognitive Profile</t>
        </is>
      </c>
      <c r="E40" s="11" t="inlineStr">
        <is>
          <t>6L</t>
        </is>
      </c>
      <c r="F40" s="11" t="n">
        <v>1</v>
      </c>
      <c r="G40" s="13" t="n"/>
    </row>
    <row r="41">
      <c r="A41" s="14" t="inlineStr">
        <is>
          <t>34</t>
        </is>
      </c>
      <c r="B41" s="14" t="inlineStr">
        <is>
          <t>E</t>
        </is>
      </c>
      <c r="C41" s="15" t="inlineStr">
        <is>
          <t>Five required elements of a 97127 note</t>
        </is>
      </c>
      <c r="D41" s="15" t="inlineStr">
        <is>
          <t>ICD-10; deficits; interventions; functional response; homework</t>
        </is>
      </c>
      <c r="E41" s="14" t="inlineStr">
        <is>
          <t>8.2</t>
        </is>
      </c>
      <c r="F41" s="14" t="n">
        <v>1</v>
      </c>
      <c r="G41" s="13" t="n"/>
    </row>
    <row r="42">
      <c r="A42" s="11" t="inlineStr">
        <is>
          <t>35</t>
        </is>
      </c>
      <c r="B42" s="11" t="inlineStr">
        <is>
          <t>E</t>
        </is>
      </c>
      <c r="C42" s="12" t="inlineStr">
        <is>
          <t>Code for provider interpretation</t>
        </is>
      </c>
      <c r="D42" s="12" t="inlineStr">
        <is>
          <t>96132</t>
        </is>
      </c>
      <c r="E42" s="11" t="inlineStr">
        <is>
          <t>8.1</t>
        </is>
      </c>
      <c r="F42" s="11" t="n">
        <v>1</v>
      </c>
      <c r="G42" s="13" t="n"/>
    </row>
    <row r="43">
      <c r="A43" s="14" t="inlineStr">
        <is>
          <t>36</t>
        </is>
      </c>
      <c r="B43" s="14" t="inlineStr">
        <is>
          <t>E</t>
        </is>
      </c>
      <c r="C43" s="15" t="inlineStr">
        <is>
          <t>Code for weekly training session</t>
        </is>
      </c>
      <c r="D43" s="15" t="inlineStr">
        <is>
          <t>97127</t>
        </is>
      </c>
      <c r="E43" s="14" t="inlineStr">
        <is>
          <t>8.1</t>
        </is>
      </c>
      <c r="F43" s="14" t="n">
        <v>1</v>
      </c>
      <c r="G43" s="13" t="n"/>
    </row>
    <row r="44">
      <c r="A44" s="11" t="inlineStr">
        <is>
          <t>37</t>
        </is>
      </c>
      <c r="B44" s="11" t="inlineStr">
        <is>
          <t>E</t>
        </is>
      </c>
      <c r="C44" s="12" t="inlineStr">
        <is>
          <t>Who decides medical necessity</t>
        </is>
      </c>
      <c r="D44" s="12" t="inlineStr">
        <is>
          <t>Provider</t>
        </is>
      </c>
      <c r="E44" s="11" t="inlineStr">
        <is>
          <t>8.1</t>
        </is>
      </c>
      <c r="F44" s="11" t="n">
        <v>1</v>
      </c>
      <c r="G44" s="13" t="n"/>
    </row>
    <row r="45">
      <c r="A45" s="14" t="inlineStr">
        <is>
          <t>38</t>
        </is>
      </c>
      <c r="B45" s="14" t="inlineStr">
        <is>
          <t>E</t>
        </is>
      </c>
      <c r="C45" s="15" t="inlineStr">
        <is>
          <t>APD note-audit frequency</t>
        </is>
      </c>
      <c r="D45" s="15" t="inlineStr">
        <is>
          <t>Weekly</t>
        </is>
      </c>
      <c r="E45" s="14" t="inlineStr">
        <is>
          <t>8.3</t>
        </is>
      </c>
      <c r="F45" s="14" t="n">
        <v>1</v>
      </c>
      <c r="G45" s="13" t="n"/>
    </row>
    <row r="46">
      <c r="A46" s="11" t="inlineStr">
        <is>
          <t>39</t>
        </is>
      </c>
      <c r="B46" s="11" t="inlineStr">
        <is>
          <t>E</t>
        </is>
      </c>
      <c r="C46" s="12" t="inlineStr">
        <is>
          <t>State the APD Ownership Principle</t>
        </is>
      </c>
      <c r="D46" s="12" t="inlineStr">
        <is>
          <t>Faithful restatement: APD finds &amp; resolves untracked patients, overdue notes, missed sessions, unassigned referrals — without being told</t>
        </is>
      </c>
      <c r="E46" s="11" t="inlineStr">
        <is>
          <t>3.2</t>
        </is>
      </c>
      <c r="F46" s="11" t="n">
        <v>1</v>
      </c>
      <c r="G46" s="13" t="n"/>
    </row>
    <row r="47">
      <c r="A47" s="14" t="inlineStr">
        <is>
          <t>F1</t>
        </is>
      </c>
      <c r="B47" s="14" t="inlineStr">
        <is>
          <t>F</t>
        </is>
      </c>
      <c r="C47" s="15" t="inlineStr">
        <is>
          <t>Role-specific item 1 (for employee’s role)</t>
        </is>
      </c>
      <c r="D47" s="15" t="inlineStr">
        <is>
          <t>Per role — see Answer Key F1–F5</t>
        </is>
      </c>
      <c r="E47" s="14" t="inlineStr">
        <is>
          <t>3.x</t>
        </is>
      </c>
      <c r="F47" s="14" t="n">
        <v>1</v>
      </c>
      <c r="G47" s="13" t="n"/>
    </row>
    <row r="48">
      <c r="A48" s="11" t="inlineStr">
        <is>
          <t>F2</t>
        </is>
      </c>
      <c r="B48" s="11" t="inlineStr">
        <is>
          <t>F</t>
        </is>
      </c>
      <c r="C48" s="12" t="inlineStr">
        <is>
          <t>Role-specific item 2</t>
        </is>
      </c>
      <c r="D48" s="12" t="inlineStr">
        <is>
          <t>Per role — see Answer Key F1–F5</t>
        </is>
      </c>
      <c r="E48" s="11" t="inlineStr">
        <is>
          <t>3.x</t>
        </is>
      </c>
      <c r="F48" s="11" t="n">
        <v>1</v>
      </c>
      <c r="G48" s="13" t="n"/>
    </row>
    <row r="49">
      <c r="A49" s="14" t="inlineStr">
        <is>
          <t>F3</t>
        </is>
      </c>
      <c r="B49" s="14" t="inlineStr">
        <is>
          <t>F</t>
        </is>
      </c>
      <c r="C49" s="15" t="inlineStr">
        <is>
          <t>Role-specific item 3</t>
        </is>
      </c>
      <c r="D49" s="15" t="inlineStr">
        <is>
          <t>Per role — see Answer Key F1–F5</t>
        </is>
      </c>
      <c r="E49" s="14" t="inlineStr">
        <is>
          <t>3.x</t>
        </is>
      </c>
      <c r="F49" s="14" t="n">
        <v>1</v>
      </c>
      <c r="G49" s="13" t="n"/>
    </row>
    <row r="50">
      <c r="A50" s="11" t="inlineStr">
        <is>
          <t>53</t>
        </is>
      </c>
      <c r="B50" s="11" t="inlineStr">
        <is>
          <t>G</t>
        </is>
      </c>
      <c r="C50" s="12" t="inlineStr">
        <is>
          <t>Child snores/mouth-breathes — 2 sleep screens + who interprets</t>
        </is>
      </c>
      <c r="D50" s="12" t="inlineStr">
        <is>
          <t>BEARS + Pediatric Sleep Questionnaire; Provider interprets the workup</t>
        </is>
      </c>
      <c r="E50" s="11" t="inlineStr">
        <is>
          <t>6F/7</t>
        </is>
      </c>
      <c r="F50" s="11" t="n">
        <v>1</v>
      </c>
      <c r="G50" s="13" t="n"/>
    </row>
    <row r="51">
      <c r="A51" s="14" t="inlineStr">
        <is>
          <t>54</t>
        </is>
      </c>
      <c r="B51" s="14" t="inlineStr">
        <is>
          <t>G</t>
        </is>
      </c>
      <c r="C51" s="15" t="inlineStr">
        <is>
          <t>Reframe “he’s just lazy”</t>
        </is>
      </c>
      <c r="D51" s="15" t="inlineStr">
        <is>
          <t>Brain-based EF / task-initiation framing; behavior is communication, not laziness</t>
        </is>
      </c>
      <c r="E51" s="14" t="inlineStr">
        <is>
          <t>9.1</t>
        </is>
      </c>
      <c r="F51" s="14" t="n">
        <v>1</v>
      </c>
      <c r="G51" s="13" t="n"/>
    </row>
    <row r="52">
      <c r="A52" s="11" t="inlineStr">
        <is>
          <t>55</t>
        </is>
      </c>
      <c r="B52" s="11" t="inlineStr">
        <is>
          <t>G</t>
        </is>
      </c>
      <c r="C52" s="12" t="inlineStr">
        <is>
          <t>“Noncompliant” diabetic — interpretation + 1 support</t>
        </is>
      </c>
      <c r="D52" s="12" t="inlineStr">
        <is>
          <t>Likely cognitively overloaded / medically unstable; support: simplify care plan (or med routine, monitoring, screen contributors)</t>
        </is>
      </c>
      <c r="E52" s="11" t="inlineStr">
        <is>
          <t>Track 6</t>
        </is>
      </c>
      <c r="F52" s="11" t="n">
        <v>1</v>
      </c>
      <c r="G52" s="13" t="n"/>
    </row>
    <row r="53">
      <c r="A53" s="14" t="inlineStr">
        <is>
          <t>56</t>
        </is>
      </c>
      <c r="B53" s="14" t="inlineStr">
        <is>
          <t>G</t>
        </is>
      </c>
      <c r="C53" s="15" t="inlineStr">
        <is>
          <t>34yo masking/burnout — track + 1 battery category</t>
        </is>
      </c>
      <c r="D53" s="15" t="inlineStr">
        <is>
          <t>Track 4 (late-identified neurodivergence); e.g., autism-trait (AQ/RAADS-R), CAT-Q, sensory profile, ASRS, BRIEF-A</t>
        </is>
      </c>
      <c r="E53" s="14" t="inlineStr">
        <is>
          <t>Track 4</t>
        </is>
      </c>
      <c r="F53" s="14" t="n">
        <v>1</v>
      </c>
      <c r="G53" s="13" t="n"/>
    </row>
    <row r="54">
      <c r="A54" s="11" t="inlineStr">
        <is>
          <t>57</t>
        </is>
      </c>
      <c r="B54" s="11" t="inlineStr">
        <is>
          <t>G</t>
        </is>
      </c>
      <c r="C54" s="12" t="inlineStr">
        <is>
          <t>82yo memory change — 2 reversible contributors</t>
        </is>
      </c>
      <c r="D54" s="12" t="inlineStr">
        <is>
          <t>Any 2: B12, thyroid, anemia, sleep apnea, depression, medication/anticholinergic, dehydration, infection, hearing/vision, BP</t>
        </is>
      </c>
      <c r="E54" s="11" t="inlineStr">
        <is>
          <t>7.1</t>
        </is>
      </c>
      <c r="F54" s="11" t="n">
        <v>1</v>
      </c>
      <c r="G54" s="13" t="n"/>
    </row>
    <row r="56">
      <c r="A56" s="16" t="inlineStr">
        <is>
          <t>SUMMARY</t>
        </is>
      </c>
    </row>
    <row r="57">
      <c r="A57" s="9" t="inlineStr">
        <is>
          <t>Part</t>
        </is>
      </c>
      <c r="B57" s="17" t="inlineStr">
        <is>
          <t>Section</t>
        </is>
      </c>
      <c r="C57" s="9" t="inlineStr">
        <is>
          <t>Earned</t>
        </is>
      </c>
      <c r="D57" s="9" t="inlineStr">
        <is>
          <t>Max</t>
        </is>
      </c>
      <c r="E57" s="9" t="inlineStr">
        <is>
          <t>%</t>
        </is>
      </c>
    </row>
    <row r="58">
      <c r="A58" s="18" t="inlineStr">
        <is>
          <t>A</t>
        </is>
      </c>
      <c r="B58" s="19" t="inlineStr">
        <is>
          <t>Core Program Knowledge</t>
        </is>
      </c>
      <c r="C58" s="11">
        <f>SUMIFS(G8:G54,B8:B54,"A")</f>
        <v/>
      </c>
      <c r="D58" s="11">
        <f>SUMIFS(F8:F54,B8:B54,"A")</f>
        <v/>
      </c>
      <c r="E58" s="20">
        <f>IFERROR(C58/D58,0)</f>
        <v/>
      </c>
    </row>
    <row r="59">
      <c r="A59" s="18" t="inlineStr">
        <is>
          <t>B</t>
        </is>
      </c>
      <c r="B59" s="19" t="inlineStr">
        <is>
          <t>Scope of Practice &amp; Safety (must be 100%)</t>
        </is>
      </c>
      <c r="C59" s="11">
        <f>SUMIFS(G8:G54,B8:B54,"B")</f>
        <v/>
      </c>
      <c r="D59" s="11">
        <f>SUMIFS(F8:F54,B8:B54,"B")</f>
        <v/>
      </c>
      <c r="E59" s="20">
        <f>IFERROR(C59/D59,0)</f>
        <v/>
      </c>
    </row>
    <row r="60">
      <c r="A60" s="18" t="inlineStr">
        <is>
          <t>C</t>
        </is>
      </c>
      <c r="B60" s="19" t="inlineStr">
        <is>
          <t>Patient Journey &amp; Deadlines</t>
        </is>
      </c>
      <c r="C60" s="11">
        <f>SUMIFS(G8:G54,B8:B54,"C")</f>
        <v/>
      </c>
      <c r="D60" s="11">
        <f>SUMIFS(F8:F54,B8:B54,"C")</f>
        <v/>
      </c>
      <c r="E60" s="20">
        <f>IFERROR(C60/D60,0)</f>
        <v/>
      </c>
    </row>
    <row r="61">
      <c r="A61" s="18" t="inlineStr">
        <is>
          <t>D</t>
        </is>
      </c>
      <c r="B61" s="19" t="inlineStr">
        <is>
          <t>Screening &amp; the Cognitive Profile</t>
        </is>
      </c>
      <c r="C61" s="11">
        <f>SUMIFS(G8:G54,B8:B54,"D")</f>
        <v/>
      </c>
      <c r="D61" s="11">
        <f>SUMIFS(F8:F54,B8:B54,"D")</f>
        <v/>
      </c>
      <c r="E61" s="20">
        <f>IFERROR(C61/D61,0)</f>
        <v/>
      </c>
    </row>
    <row r="62">
      <c r="A62" s="18" t="inlineStr">
        <is>
          <t>E</t>
        </is>
      </c>
      <c r="B62" s="19" t="inlineStr">
        <is>
          <t>Documentation, Billing &amp; Compliance</t>
        </is>
      </c>
      <c r="C62" s="11">
        <f>SUMIFS(G8:G54,B8:B54,"E")</f>
        <v/>
      </c>
      <c r="D62" s="11">
        <f>SUMIFS(F8:F54,B8:B54,"E")</f>
        <v/>
      </c>
      <c r="E62" s="20">
        <f>IFERROR(C62/D62,0)</f>
        <v/>
      </c>
    </row>
    <row r="63">
      <c r="A63" s="18" t="inlineStr">
        <is>
          <t>F</t>
        </is>
      </c>
      <c r="B63" s="19" t="inlineStr">
        <is>
          <t>Role-Specific Competency</t>
        </is>
      </c>
      <c r="C63" s="11">
        <f>SUMIFS(G8:G54,B8:B54,"F")</f>
        <v/>
      </c>
      <c r="D63" s="11">
        <f>SUMIFS(F8:F54,B8:B54,"F")</f>
        <v/>
      </c>
      <c r="E63" s="20">
        <f>IFERROR(C63/D63,0)</f>
        <v/>
      </c>
    </row>
    <row r="64">
      <c r="A64" s="18" t="inlineStr">
        <is>
          <t>G</t>
        </is>
      </c>
      <c r="B64" s="19" t="inlineStr">
        <is>
          <t>Application &amp; Scenarios</t>
        </is>
      </c>
      <c r="C64" s="11">
        <f>SUMIFS(G8:G54,B8:B54,"G")</f>
        <v/>
      </c>
      <c r="D64" s="11">
        <f>SUMIFS(F8:F54,B8:B54,"G")</f>
        <v/>
      </c>
      <c r="E64" s="20">
        <f>IFERROR(C64/D64,0)</f>
        <v/>
      </c>
    </row>
    <row r="65">
      <c r="A65" s="21" t="n"/>
      <c r="B65" s="22" t="inlineStr">
        <is>
          <t>TOTAL</t>
        </is>
      </c>
      <c r="C65" s="18">
        <f>SUM(C58:C64)</f>
        <v/>
      </c>
      <c r="D65" s="18">
        <f>SUM(D58:D64)</f>
        <v/>
      </c>
      <c r="E65" s="23">
        <f>IFERROR(C65/D65,0)</f>
        <v/>
      </c>
    </row>
    <row r="67">
      <c r="B67" s="7" t="inlineStr">
        <is>
          <t>Part B (Safety) — all correct?</t>
        </is>
      </c>
      <c r="C67" s="24">
        <f>IF(C59=D59,"YES","NO")</f>
        <v/>
      </c>
    </row>
    <row r="68">
      <c r="B68" s="16" t="inlineStr">
        <is>
          <t>RESULT</t>
        </is>
      </c>
      <c r="C68" s="25">
        <f>IF(AND(E65&gt;=0.8,C59=D59),"COMPETENT","NEEDS REVIEW")</f>
        <v/>
      </c>
    </row>
    <row r="70">
      <c r="B70" s="6" t="inlineStr">
        <is>
          <t>Pass = ≥80% overall AND Part B = 100%. If not, review Modules 3 &amp; 8 and re-test.</t>
        </is>
      </c>
    </row>
  </sheetData>
  <mergeCells count="3">
    <mergeCell ref="C68:E68"/>
    <mergeCell ref="A2:G2"/>
    <mergeCell ref="A1:G1"/>
  </mergeCells>
  <conditionalFormatting sqref="C68">
    <cfRule type="cellIs" priority="1" operator="equal" dxfId="0">
      <formula>"COMPETENT"</formula>
    </cfRule>
    <cfRule type="cellIs" priority="2" operator="equal" dxfId="1">
      <formula>"NEEDS REVIEW"</formula>
    </cfRule>
  </conditionalFormatting>
  <conditionalFormatting sqref="C67">
    <cfRule type="cellIs" priority="3" operator="equal" dxfId="1">
      <formula>"NO"</formula>
    </cfRule>
    <cfRule type="cellIs" priority="4" operator="equal" dxfId="0">
      <formula>"YES"</formula>
    </cfRule>
  </conditionalFormatting>
  <dataValidations count="1">
    <dataValidation sqref="G8 G9 G10 G11 G12 G13 G14 G15 G16 G17 G18 G19 G20 G21 G22 G23 G24 G25 G26 G27 G28 G29 G30 G31 G32 G33 G34 G35 G36 G37 G38 G39 G40 G41 G42 G43 G44 G45 G46 G47 G48 G49 G50 G51 G52 G53 G54" showDropDown="0" showInputMessage="0" showErrorMessage="0" allowBlank="1" errorTitle="Invalid" error="Enter 1 (correct) or 0 (incorrect)." type="whole"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2"/>
  <sheetViews>
    <sheetView showGridLines="0" workbookViewId="0">
      <pane ySplit="4" topLeftCell="A5" activePane="bottomLeft" state="frozen"/>
      <selection pane="bottomLeft" activeCell="A1" sqref="A1"/>
    </sheetView>
  </sheetViews>
  <sheetFormatPr baseColWidth="8" defaultRowHeight="15"/>
  <cols>
    <col width="18" customWidth="1" min="1" max="1"/>
    <col width="22" customWidth="1" min="2" max="2"/>
    <col width="12" customWidth="1" min="3" max="3"/>
    <col width="7" customWidth="1" min="4" max="4"/>
    <col width="7" customWidth="1" min="5" max="5"/>
    <col width="7" customWidth="1" min="6" max="6"/>
    <col width="7" customWidth="1" min="7" max="7"/>
    <col width="7" customWidth="1" min="8" max="8"/>
    <col width="7" customWidth="1" min="9" max="9"/>
    <col width="7" customWidth="1" min="10" max="10"/>
    <col width="10" customWidth="1" min="11" max="11"/>
    <col width="8" customWidth="1" min="12" max="12"/>
    <col width="11" customWidth="1" min="13" max="13"/>
    <col width="15" customWidth="1" min="14" max="14"/>
  </cols>
  <sheetData>
    <row r="1">
      <c r="A1" s="5" t="inlineStr">
        <is>
          <t>CharmEd Minds™ Competency — Class Roster</t>
        </is>
      </c>
    </row>
    <row r="2">
      <c r="A2" s="6" t="inlineStr">
        <is>
          <t>Enter each employee’s per-part points (yellow). Result = ≥80% overall AND Part B = 7/7.</t>
        </is>
      </c>
    </row>
    <row r="4">
      <c r="A4" s="10" t="inlineStr">
        <is>
          <t>Employee</t>
        </is>
      </c>
      <c r="B4" s="10" t="inlineStr">
        <is>
          <t>Role</t>
        </is>
      </c>
      <c r="C4" s="10" t="inlineStr">
        <is>
          <t>Date</t>
        </is>
      </c>
      <c r="D4" s="9" t="inlineStr">
        <is>
          <t>A /11</t>
        </is>
      </c>
      <c r="E4" s="9" t="inlineStr">
        <is>
          <t>B /7</t>
        </is>
      </c>
      <c r="F4" s="9" t="inlineStr">
        <is>
          <t>C /9</t>
        </is>
      </c>
      <c r="G4" s="9" t="inlineStr">
        <is>
          <t>D /6</t>
        </is>
      </c>
      <c r="H4" s="9" t="inlineStr">
        <is>
          <t>E /6</t>
        </is>
      </c>
      <c r="I4" s="9" t="inlineStr">
        <is>
          <t>F /3</t>
        </is>
      </c>
      <c r="J4" s="9" t="inlineStr">
        <is>
          <t>G /5</t>
        </is>
      </c>
      <c r="K4" s="9" t="inlineStr">
        <is>
          <t>Total /47</t>
        </is>
      </c>
      <c r="L4" s="9" t="inlineStr">
        <is>
          <t>%</t>
        </is>
      </c>
      <c r="M4" s="9" t="inlineStr">
        <is>
          <t>Part B OK</t>
        </is>
      </c>
      <c r="N4" s="9" t="inlineStr">
        <is>
          <t>Result</t>
        </is>
      </c>
    </row>
    <row r="5">
      <c r="A5" s="26" t="inlineStr">
        <is>
          <t>e.g., Jane Doe</t>
        </is>
      </c>
      <c r="B5" s="26" t="inlineStr">
        <is>
          <t>Care Coordinator</t>
        </is>
      </c>
      <c r="C5" s="26" t="inlineStr">
        <is>
          <t>2026-07-30</t>
        </is>
      </c>
      <c r="D5" s="27" t="n">
        <v>11</v>
      </c>
      <c r="E5" s="27" t="n">
        <v>7</v>
      </c>
      <c r="F5" s="27" t="n">
        <v>9</v>
      </c>
      <c r="G5" s="27" t="n">
        <v>6</v>
      </c>
      <c r="H5" s="27" t="n">
        <v>5</v>
      </c>
      <c r="I5" s="27" t="n">
        <v>3</v>
      </c>
      <c r="J5" s="27" t="n">
        <v>5</v>
      </c>
      <c r="K5" s="11">
        <f>IF(COUNT(D5:J5)=0,"",SUM(D5:J5))</f>
        <v/>
      </c>
      <c r="L5" s="20">
        <f>IF(K5="","",K5/47)</f>
        <v/>
      </c>
      <c r="M5" s="11">
        <f>IF(E5="","",IF(E5=7,"Yes","No"))</f>
        <v/>
      </c>
      <c r="N5" s="11">
        <f>IF(K5="","",IF(AND(L5&gt;=0.8,E5=7),"Competent","Needs review"))</f>
        <v/>
      </c>
    </row>
    <row r="6">
      <c r="A6" s="28" t="n"/>
      <c r="B6" s="28" t="n"/>
      <c r="C6" s="28" t="n"/>
      <c r="D6" s="13" t="n"/>
      <c r="E6" s="13" t="n"/>
      <c r="F6" s="13" t="n"/>
      <c r="G6" s="13" t="n"/>
      <c r="H6" s="13" t="n"/>
      <c r="I6" s="13" t="n"/>
      <c r="J6" s="13" t="n"/>
      <c r="K6" s="11">
        <f>IF(COUNT(D6:J6)=0,"",SUM(D6:J6))</f>
        <v/>
      </c>
      <c r="L6" s="20">
        <f>IF(K6="","",K6/47)</f>
        <v/>
      </c>
      <c r="M6" s="11">
        <f>IF(E6="","",IF(E6=7,"Yes","No"))</f>
        <v/>
      </c>
      <c r="N6" s="11">
        <f>IF(K6="","",IF(AND(L6&gt;=0.8,E6=7),"Competent","Needs review"))</f>
        <v/>
      </c>
    </row>
    <row r="7">
      <c r="A7" s="28" t="n"/>
      <c r="B7" s="28" t="n"/>
      <c r="C7" s="28" t="n"/>
      <c r="D7" s="13" t="n"/>
      <c r="E7" s="13" t="n"/>
      <c r="F7" s="13" t="n"/>
      <c r="G7" s="13" t="n"/>
      <c r="H7" s="13" t="n"/>
      <c r="I7" s="13" t="n"/>
      <c r="J7" s="13" t="n"/>
      <c r="K7" s="11">
        <f>IF(COUNT(D7:J7)=0,"",SUM(D7:J7))</f>
        <v/>
      </c>
      <c r="L7" s="20">
        <f>IF(K7="","",K7/47)</f>
        <v/>
      </c>
      <c r="M7" s="11">
        <f>IF(E7="","",IF(E7=7,"Yes","No"))</f>
        <v/>
      </c>
      <c r="N7" s="11">
        <f>IF(K7="","",IF(AND(L7&gt;=0.8,E7=7),"Competent","Needs review"))</f>
        <v/>
      </c>
    </row>
    <row r="8">
      <c r="A8" s="28" t="n"/>
      <c r="B8" s="28" t="n"/>
      <c r="C8" s="28" t="n"/>
      <c r="D8" s="13" t="n"/>
      <c r="E8" s="13" t="n"/>
      <c r="F8" s="13" t="n"/>
      <c r="G8" s="13" t="n"/>
      <c r="H8" s="13" t="n"/>
      <c r="I8" s="13" t="n"/>
      <c r="J8" s="13" t="n"/>
      <c r="K8" s="11">
        <f>IF(COUNT(D8:J8)=0,"",SUM(D8:J8))</f>
        <v/>
      </c>
      <c r="L8" s="20">
        <f>IF(K8="","",K8/47)</f>
        <v/>
      </c>
      <c r="M8" s="11">
        <f>IF(E8="","",IF(E8=7,"Yes","No"))</f>
        <v/>
      </c>
      <c r="N8" s="11">
        <f>IF(K8="","",IF(AND(L8&gt;=0.8,E8=7),"Competent","Needs review"))</f>
        <v/>
      </c>
    </row>
    <row r="9">
      <c r="A9" s="28" t="n"/>
      <c r="B9" s="28" t="n"/>
      <c r="C9" s="28" t="n"/>
      <c r="D9" s="13" t="n"/>
      <c r="E9" s="13" t="n"/>
      <c r="F9" s="13" t="n"/>
      <c r="G9" s="13" t="n"/>
      <c r="H9" s="13" t="n"/>
      <c r="I9" s="13" t="n"/>
      <c r="J9" s="13" t="n"/>
      <c r="K9" s="11">
        <f>IF(COUNT(D9:J9)=0,"",SUM(D9:J9))</f>
        <v/>
      </c>
      <c r="L9" s="20">
        <f>IF(K9="","",K9/47)</f>
        <v/>
      </c>
      <c r="M9" s="11">
        <f>IF(E9="","",IF(E9=7,"Yes","No"))</f>
        <v/>
      </c>
      <c r="N9" s="11">
        <f>IF(K9="","",IF(AND(L9&gt;=0.8,E9=7),"Competent","Needs review"))</f>
        <v/>
      </c>
    </row>
    <row r="10">
      <c r="A10" s="28" t="n"/>
      <c r="B10" s="28" t="n"/>
      <c r="C10" s="28" t="n"/>
      <c r="D10" s="13" t="n"/>
      <c r="E10" s="13" t="n"/>
      <c r="F10" s="13" t="n"/>
      <c r="G10" s="13" t="n"/>
      <c r="H10" s="13" t="n"/>
      <c r="I10" s="13" t="n"/>
      <c r="J10" s="13" t="n"/>
      <c r="K10" s="11">
        <f>IF(COUNT(D10:J10)=0,"",SUM(D10:J10))</f>
        <v/>
      </c>
      <c r="L10" s="20">
        <f>IF(K10="","",K10/47)</f>
        <v/>
      </c>
      <c r="M10" s="11">
        <f>IF(E10="","",IF(E10=7,"Yes","No"))</f>
        <v/>
      </c>
      <c r="N10" s="11">
        <f>IF(K10="","",IF(AND(L10&gt;=0.8,E10=7),"Competent","Needs review"))</f>
        <v/>
      </c>
    </row>
    <row r="11">
      <c r="A11" s="28" t="n"/>
      <c r="B11" s="28" t="n"/>
      <c r="C11" s="28" t="n"/>
      <c r="D11" s="13" t="n"/>
      <c r="E11" s="13" t="n"/>
      <c r="F11" s="13" t="n"/>
      <c r="G11" s="13" t="n"/>
      <c r="H11" s="13" t="n"/>
      <c r="I11" s="13" t="n"/>
      <c r="J11" s="13" t="n"/>
      <c r="K11" s="11">
        <f>IF(COUNT(D11:J11)=0,"",SUM(D11:J11))</f>
        <v/>
      </c>
      <c r="L11" s="20">
        <f>IF(K11="","",K11/47)</f>
        <v/>
      </c>
      <c r="M11" s="11">
        <f>IF(E11="","",IF(E11=7,"Yes","No"))</f>
        <v/>
      </c>
      <c r="N11" s="11">
        <f>IF(K11="","",IF(AND(L11&gt;=0.8,E11=7),"Competent","Needs review"))</f>
        <v/>
      </c>
    </row>
    <row r="12">
      <c r="A12" s="28" t="n"/>
      <c r="B12" s="28" t="n"/>
      <c r="C12" s="28" t="n"/>
      <c r="D12" s="13" t="n"/>
      <c r="E12" s="13" t="n"/>
      <c r="F12" s="13" t="n"/>
      <c r="G12" s="13" t="n"/>
      <c r="H12" s="13" t="n"/>
      <c r="I12" s="13" t="n"/>
      <c r="J12" s="13" t="n"/>
      <c r="K12" s="11">
        <f>IF(COUNT(D12:J12)=0,"",SUM(D12:J12))</f>
        <v/>
      </c>
      <c r="L12" s="20">
        <f>IF(K12="","",K12/47)</f>
        <v/>
      </c>
      <c r="M12" s="11">
        <f>IF(E12="","",IF(E12=7,"Yes","No"))</f>
        <v/>
      </c>
      <c r="N12" s="11">
        <f>IF(K12="","",IF(AND(L12&gt;=0.8,E12=7),"Competent","Needs review"))</f>
        <v/>
      </c>
    </row>
    <row r="13">
      <c r="A13" s="28" t="n"/>
      <c r="B13" s="28" t="n"/>
      <c r="C13" s="28" t="n"/>
      <c r="D13" s="13" t="n"/>
      <c r="E13" s="13" t="n"/>
      <c r="F13" s="13" t="n"/>
      <c r="G13" s="13" t="n"/>
      <c r="H13" s="13" t="n"/>
      <c r="I13" s="13" t="n"/>
      <c r="J13" s="13" t="n"/>
      <c r="K13" s="11">
        <f>IF(COUNT(D13:J13)=0,"",SUM(D13:J13))</f>
        <v/>
      </c>
      <c r="L13" s="20">
        <f>IF(K13="","",K13/47)</f>
        <v/>
      </c>
      <c r="M13" s="11">
        <f>IF(E13="","",IF(E13=7,"Yes","No"))</f>
        <v/>
      </c>
      <c r="N13" s="11">
        <f>IF(K13="","",IF(AND(L13&gt;=0.8,E13=7),"Competent","Needs review"))</f>
        <v/>
      </c>
    </row>
    <row r="14">
      <c r="A14" s="28" t="n"/>
      <c r="B14" s="28" t="n"/>
      <c r="C14" s="28" t="n"/>
      <c r="D14" s="13" t="n"/>
      <c r="E14" s="13" t="n"/>
      <c r="F14" s="13" t="n"/>
      <c r="G14" s="13" t="n"/>
      <c r="H14" s="13" t="n"/>
      <c r="I14" s="13" t="n"/>
      <c r="J14" s="13" t="n"/>
      <c r="K14" s="11">
        <f>IF(COUNT(D14:J14)=0,"",SUM(D14:J14))</f>
        <v/>
      </c>
      <c r="L14" s="20">
        <f>IF(K14="","",K14/47)</f>
        <v/>
      </c>
      <c r="M14" s="11">
        <f>IF(E14="","",IF(E14=7,"Yes","No"))</f>
        <v/>
      </c>
      <c r="N14" s="11">
        <f>IF(K14="","",IF(AND(L14&gt;=0.8,E14=7),"Competent","Needs review"))</f>
        <v/>
      </c>
    </row>
    <row r="15">
      <c r="A15" s="28" t="n"/>
      <c r="B15" s="28" t="n"/>
      <c r="C15" s="28" t="n"/>
      <c r="D15" s="13" t="n"/>
      <c r="E15" s="13" t="n"/>
      <c r="F15" s="13" t="n"/>
      <c r="G15" s="13" t="n"/>
      <c r="H15" s="13" t="n"/>
      <c r="I15" s="13" t="n"/>
      <c r="J15" s="13" t="n"/>
      <c r="K15" s="11">
        <f>IF(COUNT(D15:J15)=0,"",SUM(D15:J15))</f>
        <v/>
      </c>
      <c r="L15" s="20">
        <f>IF(K15="","",K15/47)</f>
        <v/>
      </c>
      <c r="M15" s="11">
        <f>IF(E15="","",IF(E15=7,"Yes","No"))</f>
        <v/>
      </c>
      <c r="N15" s="11">
        <f>IF(K15="","",IF(AND(L15&gt;=0.8,E15=7),"Competent","Needs review"))</f>
        <v/>
      </c>
    </row>
    <row r="16">
      <c r="A16" s="28" t="n"/>
      <c r="B16" s="28" t="n"/>
      <c r="C16" s="28" t="n"/>
      <c r="D16" s="13" t="n"/>
      <c r="E16" s="13" t="n"/>
      <c r="F16" s="13" t="n"/>
      <c r="G16" s="13" t="n"/>
      <c r="H16" s="13" t="n"/>
      <c r="I16" s="13" t="n"/>
      <c r="J16" s="13" t="n"/>
      <c r="K16" s="11">
        <f>IF(COUNT(D16:J16)=0,"",SUM(D16:J16))</f>
        <v/>
      </c>
      <c r="L16" s="20">
        <f>IF(K16="","",K16/47)</f>
        <v/>
      </c>
      <c r="M16" s="11">
        <f>IF(E16="","",IF(E16=7,"Yes","No"))</f>
        <v/>
      </c>
      <c r="N16" s="11">
        <f>IF(K16="","",IF(AND(L16&gt;=0.8,E16=7),"Competent","Needs review"))</f>
        <v/>
      </c>
    </row>
    <row r="17">
      <c r="A17" s="28" t="n"/>
      <c r="B17" s="28" t="n"/>
      <c r="C17" s="28" t="n"/>
      <c r="D17" s="13" t="n"/>
      <c r="E17" s="13" t="n"/>
      <c r="F17" s="13" t="n"/>
      <c r="G17" s="13" t="n"/>
      <c r="H17" s="13" t="n"/>
      <c r="I17" s="13" t="n"/>
      <c r="J17" s="13" t="n"/>
      <c r="K17" s="11">
        <f>IF(COUNT(D17:J17)=0,"",SUM(D17:J17))</f>
        <v/>
      </c>
      <c r="L17" s="20">
        <f>IF(K17="","",K17/47)</f>
        <v/>
      </c>
      <c r="M17" s="11">
        <f>IF(E17="","",IF(E17=7,"Yes","No"))</f>
        <v/>
      </c>
      <c r="N17" s="11">
        <f>IF(K17="","",IF(AND(L17&gt;=0.8,E17=7),"Competent","Needs review"))</f>
        <v/>
      </c>
    </row>
    <row r="18">
      <c r="A18" s="28" t="n"/>
      <c r="B18" s="28" t="n"/>
      <c r="C18" s="28" t="n"/>
      <c r="D18" s="13" t="n"/>
      <c r="E18" s="13" t="n"/>
      <c r="F18" s="13" t="n"/>
      <c r="G18" s="13" t="n"/>
      <c r="H18" s="13" t="n"/>
      <c r="I18" s="13" t="n"/>
      <c r="J18" s="13" t="n"/>
      <c r="K18" s="11">
        <f>IF(COUNT(D18:J18)=0,"",SUM(D18:J18))</f>
        <v/>
      </c>
      <c r="L18" s="20">
        <f>IF(K18="","",K18/47)</f>
        <v/>
      </c>
      <c r="M18" s="11">
        <f>IF(E18="","",IF(E18=7,"Yes","No"))</f>
        <v/>
      </c>
      <c r="N18" s="11">
        <f>IF(K18="","",IF(AND(L18&gt;=0.8,E18=7),"Competent","Needs review"))</f>
        <v/>
      </c>
    </row>
    <row r="19">
      <c r="A19" s="28" t="n"/>
      <c r="B19" s="28" t="n"/>
      <c r="C19" s="28" t="n"/>
      <c r="D19" s="13" t="n"/>
      <c r="E19" s="13" t="n"/>
      <c r="F19" s="13" t="n"/>
      <c r="G19" s="13" t="n"/>
      <c r="H19" s="13" t="n"/>
      <c r="I19" s="13" t="n"/>
      <c r="J19" s="13" t="n"/>
      <c r="K19" s="11">
        <f>IF(COUNT(D19:J19)=0,"",SUM(D19:J19))</f>
        <v/>
      </c>
      <c r="L19" s="20">
        <f>IF(K19="","",K19/47)</f>
        <v/>
      </c>
      <c r="M19" s="11">
        <f>IF(E19="","",IF(E19=7,"Yes","No"))</f>
        <v/>
      </c>
      <c r="N19" s="11">
        <f>IF(K19="","",IF(AND(L19&gt;=0.8,E19=7),"Competent","Needs review"))</f>
        <v/>
      </c>
    </row>
    <row r="20">
      <c r="A20" s="28" t="n"/>
      <c r="B20" s="28" t="n"/>
      <c r="C20" s="28" t="n"/>
      <c r="D20" s="13" t="n"/>
      <c r="E20" s="13" t="n"/>
      <c r="F20" s="13" t="n"/>
      <c r="G20" s="13" t="n"/>
      <c r="H20" s="13" t="n"/>
      <c r="I20" s="13" t="n"/>
      <c r="J20" s="13" t="n"/>
      <c r="K20" s="11">
        <f>IF(COUNT(D20:J20)=0,"",SUM(D20:J20))</f>
        <v/>
      </c>
      <c r="L20" s="20">
        <f>IF(K20="","",K20/47)</f>
        <v/>
      </c>
      <c r="M20" s="11">
        <f>IF(E20="","",IF(E20=7,"Yes","No"))</f>
        <v/>
      </c>
      <c r="N20" s="11">
        <f>IF(K20="","",IF(AND(L20&gt;=0.8,E20=7),"Competent","Needs review"))</f>
        <v/>
      </c>
    </row>
    <row r="21">
      <c r="A21" s="28" t="n"/>
      <c r="B21" s="28" t="n"/>
      <c r="C21" s="28" t="n"/>
      <c r="D21" s="13" t="n"/>
      <c r="E21" s="13" t="n"/>
      <c r="F21" s="13" t="n"/>
      <c r="G21" s="13" t="n"/>
      <c r="H21" s="13" t="n"/>
      <c r="I21" s="13" t="n"/>
      <c r="J21" s="13" t="n"/>
      <c r="K21" s="11">
        <f>IF(COUNT(D21:J21)=0,"",SUM(D21:J21))</f>
        <v/>
      </c>
      <c r="L21" s="20">
        <f>IF(K21="","",K21/47)</f>
        <v/>
      </c>
      <c r="M21" s="11">
        <f>IF(E21="","",IF(E21=7,"Yes","No"))</f>
        <v/>
      </c>
      <c r="N21" s="11">
        <f>IF(K21="","",IF(AND(L21&gt;=0.8,E21=7),"Competent","Needs review"))</f>
        <v/>
      </c>
    </row>
    <row r="22">
      <c r="A22" s="28" t="n"/>
      <c r="B22" s="28" t="n"/>
      <c r="C22" s="28" t="n"/>
      <c r="D22" s="13" t="n"/>
      <c r="E22" s="13" t="n"/>
      <c r="F22" s="13" t="n"/>
      <c r="G22" s="13" t="n"/>
      <c r="H22" s="13" t="n"/>
      <c r="I22" s="13" t="n"/>
      <c r="J22" s="13" t="n"/>
      <c r="K22" s="11">
        <f>IF(COUNT(D22:J22)=0,"",SUM(D22:J22))</f>
        <v/>
      </c>
      <c r="L22" s="20">
        <f>IF(K22="","",K22/47)</f>
        <v/>
      </c>
      <c r="M22" s="11">
        <f>IF(E22="","",IF(E22=7,"Yes","No"))</f>
        <v/>
      </c>
      <c r="N22" s="11">
        <f>IF(K22="","",IF(AND(L22&gt;=0.8,E22=7),"Competent","Needs review"))</f>
        <v/>
      </c>
    </row>
  </sheetData>
  <mergeCells count="2">
    <mergeCell ref="A2:N2"/>
    <mergeCell ref="A1:N1"/>
  </mergeCells>
  <conditionalFormatting sqref="N5:N22">
    <cfRule type="cellIs" priority="1" operator="equal" dxfId="2">
      <formula>"Competent"</formula>
    </cfRule>
    <cfRule type="cellIs" priority="2" operator="equal" dxfId="3">
      <formula>"Needs review"</formula>
    </cfRule>
  </conditionalFormatting>
  <conditionalFormatting sqref="M5:M22">
    <cfRule type="cellIs" priority="3" operator="equal" dxfId="3">
      <formula>"No"</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2026-07-30T19:34:44Z</dcterms:created>
  <dcterms:modified xmlns:dcterms="http://purl.org/dc/terms/" xmlns:xsi="http://www.w3.org/2001/XMLSchema-instance" xsi:type="dcterms:W3CDTF">2026-07-30T19:34:44Z</dcterms:modified>
</cp:coreProperties>
</file>